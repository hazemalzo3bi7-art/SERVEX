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heet" sheetId="2" state="visible" r:id="rId4"/>
    <sheet name="Findings" sheetId="3" state="visible" r:id="rId5"/>
    <sheet name="State Machine" sheetId="4" state="visible" r:id="rId6"/>
    <sheet name="RLS Audit" sheetId="5" state="visible" r:id="rId7"/>
    <sheet name="Privacy" sheetId="6" state="visible" r:id="rId8"/>
    <sheet name="Marketplace Risks" sheetId="7" state="visible" r:id="rId9"/>
    <sheet name="Testing" sheetId="8" state="visible" r:id="rId10"/>
    <sheet name="Verification Checklist" sheetId="9" state="visible" r:id="rId11"/>
    <sheet name="Technical Fix Order" sheetId="10" state="visible" r:id="rId12"/>
  </sheets>
  <definedNames>
    <definedName function="false" hidden="true" localSheetId="2" name="_xlnm._FilterDatabase" vbProcedure="false">Findings!$A$1:$H$20</definedName>
    <definedName function="false" hidden="true" localSheetId="6" name="_xlnm._FilterDatabase" vbProcedure="false">'Marketplace Risks'!$A$1:$C$21</definedName>
    <definedName function="false" hidden="true" localSheetId="5" name="_xlnm._FilterDatabase" vbProcedure="false">Privacy!$A$1:$D$11</definedName>
    <definedName function="false" hidden="true" localSheetId="4" name="_xlnm._FilterDatabase" vbProcedure="false">'RLS Audit'!$A$1:$E$13</definedName>
    <definedName function="false" hidden="true" localSheetId="3" name="_xlnm._FilterDatabase" vbProcedure="false">'State Machine'!$A$1:$F$22</definedName>
    <definedName function="false" hidden="true" localSheetId="9" name="_xlnm._FilterDatabase" vbProcedure="false">'Technical Fix Order'!$A$1:$C$8</definedName>
    <definedName function="false" hidden="true" localSheetId="7" name="_xlnm._FilterDatabase" vbProcedure="false">Testing!$A$1:$E$7</definedName>
    <definedName function="false" hidden="true" localSheetId="8" name="_xlnm._FilterDatabase" vbProcedure="false">'Verification Checklist'!$A$1:$D$19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<sst xmlns="http://schemas.openxmlformats.org/spreadsheetml/2006/main" count="577" uniqueCount="346">
  <si>
    <t xml:space="preserve">Servex - Technical / Security / Architecture Audit</t>
  </si>
  <si>
    <t xml:space="preserve">Scope: SQL package and documentation only. Servex frontend, auth code and tests were NOT INSPECTED. Nothing was executed against any database. Not a score or ranking.</t>
  </si>
  <si>
    <t xml:space="preserve">Severity</t>
  </si>
  <si>
    <t xml:space="preserve">Total</t>
  </si>
  <si>
    <t xml:space="preserve">Confirmed</t>
  </si>
  <si>
    <t xml:space="preserve">Conditional</t>
  </si>
  <si>
    <t xml:space="preserve">P0</t>
  </si>
  <si>
    <t xml:space="preserve">P1</t>
  </si>
  <si>
    <t xml:space="preserve">P2</t>
  </si>
  <si>
    <t xml:space="preserve">P3</t>
  </si>
  <si>
    <t xml:space="preserve">INFO</t>
  </si>
  <si>
    <t xml:space="preserve">Verification checklist</t>
  </si>
  <si>
    <t xml:space="preserve">Open</t>
  </si>
  <si>
    <t xml:space="preserve">In progress</t>
  </si>
  <si>
    <t xml:space="preserve">Done</t>
  </si>
  <si>
    <t xml:space="preserve">Blocked</t>
  </si>
  <si>
    <t xml:space="preserve">Total checks</t>
  </si>
  <si>
    <t xml:space="preserve">Tabs: Findings | State Machine | RLS Audit | Privacy | Marketplace Risks | Testing | Verification Checklist | Technical Fix Order</t>
  </si>
  <si>
    <t xml:space="preserve">Evidence line numbers refer to the SQL package in the audit workspace (backend/migrations), which may differ from the repo's claude22 SQL (verify).</t>
  </si>
  <si>
    <t xml:space="preserve">Edit the Status column on the Verification Checklist tab; counts above update automatically.</t>
  </si>
  <si>
    <t xml:space="preserve">ID</t>
  </si>
  <si>
    <t xml:space="preserve">Type</t>
  </si>
  <si>
    <t xml:space="preserve">Component</t>
  </si>
  <si>
    <t xml:space="preserve">Evidence (file:line, my SQL copy)</t>
  </si>
  <si>
    <t xml:space="preserve">Why it matters</t>
  </si>
  <si>
    <t xml:space="preserve">Confidence</t>
  </si>
  <si>
    <t xml:space="preserve">Verify in real repo?</t>
  </si>
  <si>
    <t xml:space="preserve">S-01</t>
  </si>
  <si>
    <t xml:space="preserve">RLS / privacy</t>
  </si>
  <si>
    <t xml:space="preserve">profiles_select 0005:81-82 allows provider_visible(id); table-wide SELECT grant</t>
  </si>
  <si>
    <t xml:space="preserve">Any signed-in user can read the full profile row (email; phone once populated) of any approved provider</t>
  </si>
  <si>
    <t xml:space="preserve">High</t>
  </si>
  <si>
    <t xml:space="preserve">YES</t>
  </si>
  <si>
    <t xml:space="preserve">S-02</t>
  </si>
  <si>
    <t xml:space="preserve">pp_select 0005:96; base_lat/base_lng 0002:80</t>
  </si>
  <si>
    <t xml:space="preserve">All signed-in users can read provider base coordinates (home/base location exposed)</t>
  </si>
  <si>
    <t xml:space="preserve">S-03</t>
  </si>
  <si>
    <t xml:space="preserve">Identity link (KI-016)</t>
  </si>
  <si>
    <t xml:space="preserve">0005:84 forces phone is null on client insert; no code reads auth.users except the FK at 0002:14</t>
  </si>
  <si>
    <t xml:space="preserve">Verified phone is never copied into profiles.phone; only link to verified identity is the id FK</t>
  </si>
  <si>
    <t xml:space="preserve">S-04</t>
  </si>
  <si>
    <t xml:space="preserve">Duplicate requests</t>
  </si>
  <si>
    <t xml:space="preserve">Guard only in RPC (0004:97); unique indexes 0003:201,276,277,385 cover quotes/payments/disputes, not open jobs</t>
  </si>
  <si>
    <t xml:space="preserve">Concurrent create_job calls could both pass the duplicate check and the open-request cap</t>
  </si>
  <si>
    <t xml:space="preserve">Medium (by reading)</t>
  </si>
  <si>
    <t xml:space="preserve">S-05</t>
  </si>
  <si>
    <t xml:space="preserve">Locking</t>
  </si>
  <si>
    <t xml:space="preserve">approve/send/reject_quote lock quote then job (0004:201-&gt;203, 225-&gt;227, 252-&gt;254); create_quote locks job first (0004:167)</t>
  </si>
  <si>
    <t xml:space="preserve">Inconsistent lock order; deadlock possible under concurrency</t>
  </si>
  <si>
    <t xml:space="preserve">Medium</t>
  </si>
  <si>
    <t xml:space="preserve">S-06</t>
  </si>
  <si>
    <t xml:space="preserve">Input bounds</t>
  </si>
  <si>
    <t xml:space="preserve">cancellation_reason 0003:22; history note 0003:41; p_note/p_reason (0004:110,127,248,370) uncapped</t>
  </si>
  <si>
    <t xml:space="preserve">Authenticated users can store arbitrarily large text</t>
  </si>
  <si>
    <t xml:space="preserve">S-07</t>
  </si>
  <si>
    <t xml:space="preserve">Inspection photos</t>
  </si>
  <si>
    <t xml:space="preserve">ip_insert 0005:142 checks inspection ownership only; storage_path unconstrained</t>
  </si>
  <si>
    <t xml:space="preserve">Metadata can point to any path string; reads still gated by (unexecuted) Storage RLS</t>
  </si>
  <si>
    <t xml:space="preserve">S-08</t>
  </si>
  <si>
    <t xml:space="preserve">Reports</t>
  </si>
  <si>
    <t xml:space="preserve">disputes_insert_report 0005:170</t>
  </si>
  <si>
    <t xml:space="preserve">Any user can file unlimited reports against any user; no dedupe or rate limit</t>
  </si>
  <si>
    <t xml:space="preserve">S-09</t>
  </si>
  <si>
    <t xml:space="preserve">Payments visibility</t>
  </si>
  <si>
    <t xml:space="preserve">payments_select 0005:156, table-wide SELECT</t>
  </si>
  <si>
    <t xml:space="preserve">Customers see platform_commission and provider_earnings; sensitive given undecided revenue model</t>
  </si>
  <si>
    <t xml:space="preserve">S-10</t>
  </si>
  <si>
    <t xml:space="preserve">Account deletion</t>
  </si>
  <si>
    <t xml:space="preserve">profiles.id ON DELETE CASCADE from auth.users (0002:14) vs 14 ON DELETE RESTRICT FKs (0003)</t>
  </si>
  <si>
    <t xml:space="preserve">Deleting an auth user with history fails; no erasure/anonymisation strategy beyond an admin status flag</t>
  </si>
  <si>
    <t xml:space="preserve">S-11</t>
  </si>
  <si>
    <t xml:space="preserve">Prototype row</t>
  </si>
  <si>
    <t xml:space="preserve">('AWAITING_PAYMENT','PAID','customer') 0003:68</t>
  </si>
  <si>
    <t xml:space="preserve">Customer-actor payment transition exists for demo only; remove when payment_mode = gateway</t>
  </si>
  <si>
    <t xml:space="preserve">S-12</t>
  </si>
  <si>
    <t xml:space="preserve">Seed</t>
  </si>
  <si>
    <t xml:space="preserve">tools/generate_seed.py and seed.sql use crypt('DemoPass#2026',...), guarded only by a comment</t>
  </si>
  <si>
    <t xml:space="preserve">Running the seed anywhere real creates known-password accounts</t>
  </si>
  <si>
    <t xml:space="preserve">S-13</t>
  </si>
  <si>
    <t xml:space="preserve">Test defect (unexecuted)</t>
  </si>
  <si>
    <t xml:space="preserve">tests/sql/001_behavior.test.sql first throws_ok expects 23503</t>
  </si>
  <si>
    <t xml:space="preserve">CHECK constraints evaluate before FK checks so 23514 expected; possible pgTAP privilege issues under SET ROLE</t>
  </si>
  <si>
    <t xml:space="preserve">NO (own file)</t>
  </si>
  <si>
    <t xml:space="preserve">S-14</t>
  </si>
  <si>
    <t xml:space="preserve">SQL injection</t>
  </si>
  <si>
    <t xml:space="preserve">grep: no EXECUTE of user input; only format('%I') over fixed arrays in migrations</t>
  </si>
  <si>
    <t xml:space="preserve">No injection path found in available SQL</t>
  </si>
  <si>
    <t xml:space="preserve">S-15</t>
  </si>
  <si>
    <t xml:space="preserve">Grants / RLS</t>
  </si>
  <si>
    <t xml:space="preserve">grep: no 'to anon' / 'to public'; static checker: RLS enabled on 26/26 tables; definer functions pin search_path</t>
  </si>
  <si>
    <t xml:space="preserve">Structural only (never executed)</t>
  </si>
  <si>
    <t xml:space="preserve">S-16</t>
  </si>
  <si>
    <t xml:space="preserve">Admin</t>
  </si>
  <si>
    <t xml:space="preserve">profiles_insert allows customer/provider only; update grant excludes role/status; no function sets role='admin'</t>
  </si>
  <si>
    <t xml:space="preserve">No client path to admin found; admin bootstrap is NOT IMPLEMENTED</t>
  </si>
  <si>
    <t xml:space="preserve">C-01</t>
  </si>
  <si>
    <t xml:space="preserve">Market hardcoding</t>
  </si>
  <si>
    <t xml:space="preserve">Phone regex +9627 (0002:16); cities amman/irbid (0001:7); currency='JOD' (0003:260,303); Asia/Amman (0004:32,33,317); name_ar NOT NULL (0002:51,62); preferred_language ar/en default ar (0002:20)</t>
  </si>
  <si>
    <t xml:space="preserve">If used for Israel-first English-first: every payment insert fails, catalogue needs Arabic names, +972 phones/cities rejected, 'he' not allowed. Current-repo relevance UNKNOWN</t>
  </si>
  <si>
    <t xml:space="preserve">High (code) / UNKNOWN (relevance)</t>
  </si>
  <si>
    <t xml:space="preserve">C-02</t>
  </si>
  <si>
    <t xml:space="preserve">Israel considerations</t>
  </si>
  <si>
    <t xml:space="preserve">No tax/VAT fields, no Israel-specific locale/weekend handling (legal requirements RESEARCH_REQUIRED)</t>
  </si>
  <si>
    <t xml:space="preserve">Possible gaps for the Israel market; nothing asserted about law</t>
  </si>
  <si>
    <t xml:space="preserve">Low</t>
  </si>
  <si>
    <t xml:space="preserve">C-03</t>
  </si>
  <si>
    <t xml:space="preserve">Stale documentation</t>
  </si>
  <si>
    <t xml:space="preserve">Older docs say Jordan/Arabic-first</t>
  </si>
  <si>
    <t xml:space="preserve">Must not be treated as proof of current implementation</t>
  </si>
  <si>
    <t xml:space="preserve">n/a</t>
  </si>
  <si>
    <t xml:space="preserve">Current State</t>
  </si>
  <si>
    <t xml:space="preserve">Action</t>
  </si>
  <si>
    <t xml:space="preserve">Actor</t>
  </si>
  <si>
    <t xml:space="preserve">Next State</t>
  </si>
  <si>
    <t xml:space="preserve">Evidence</t>
  </si>
  <si>
    <t xml:space="preserve">Risk</t>
  </si>
  <si>
    <t xml:space="preserve">REQUESTED</t>
  </si>
  <si>
    <t xml:space="preserve">Accept (transition_job)</t>
  </si>
  <si>
    <t xml:space="preserve">provider</t>
  </si>
  <si>
    <t xml:space="preserve">ACCEPTED</t>
  </si>
  <si>
    <t xml:space="preserve">0003:54+</t>
  </si>
  <si>
    <t xml:space="preserve">Requires approved provider (trigger)</t>
  </si>
  <si>
    <t xml:space="preserve">Decline</t>
  </si>
  <si>
    <t xml:space="preserve">DECLINED</t>
  </si>
  <si>
    <t xml:space="preserve">matrix</t>
  </si>
  <si>
    <t xml:space="preserve">None</t>
  </si>
  <si>
    <t xml:space="preserve">Cancel (cancel_job)</t>
  </si>
  <si>
    <t xml:space="preserve">customer</t>
  </si>
  <si>
    <t xml:space="preserve">CANCELLED</t>
  </si>
  <si>
    <t xml:space="preserve">Expire (expire_stale_jobs)</t>
  </si>
  <si>
    <t xml:space="preserve">system</t>
  </si>
  <si>
    <t xml:space="preserve">EXPIRED</t>
  </si>
  <si>
    <t xml:space="preserve">Cron not implemented</t>
  </si>
  <si>
    <t xml:space="preserve">En route</t>
  </si>
  <si>
    <t xml:space="preserve">EN_ROUTE</t>
  </si>
  <si>
    <t xml:space="preserve">ACCEPTED / EN_ROUTE / ARRIVED / INSPECTION</t>
  </si>
  <si>
    <t xml:space="preserve">Cancel</t>
  </si>
  <si>
    <t xml:space="preserve">customer or provider</t>
  </si>
  <si>
    <t xml:space="preserve">No cancellation fees (NOT IMPLEMENTED)</t>
  </si>
  <si>
    <t xml:space="preserve">Arrive</t>
  </si>
  <si>
    <t xml:space="preserve">ARRIVED</t>
  </si>
  <si>
    <t xml:space="preserve">No location proof</t>
  </si>
  <si>
    <t xml:space="preserve">Start inspection</t>
  </si>
  <si>
    <t xml:space="preserve">INSPECTION</t>
  </si>
  <si>
    <t xml:space="preserve">Send quote (send_quote)</t>
  </si>
  <si>
    <t xml:space="preserve">QUOTE_SENT</t>
  </si>
  <si>
    <t xml:space="preserve">matrix + trigger prerequisites</t>
  </si>
  <si>
    <t xml:space="preserve">Approve (approve_quote)</t>
  </si>
  <si>
    <t xml:space="preserve">AWAITING_PAYMENT</t>
  </si>
  <si>
    <t xml:space="preserve">Idempotent</t>
  </si>
  <si>
    <t xml:space="preserve">Expire</t>
  </si>
  <si>
    <t xml:space="preserve">Reject (reject_quote)</t>
  </si>
  <si>
    <t xml:space="preserve">stays QUOTE_SENT</t>
  </si>
  <si>
    <t xml:space="preserve">reject_quote</t>
  </si>
  <si>
    <t xml:space="preserve">Provider may re-quote</t>
  </si>
  <si>
    <t xml:space="preserve">Pay (pay_demo)</t>
  </si>
  <si>
    <t xml:space="preserve">customer (prototype) or system (gateway)</t>
  </si>
  <si>
    <t xml:space="preserve">PAID</t>
  </si>
  <si>
    <t xml:space="preserve">0003:68-69</t>
  </si>
  <si>
    <t xml:space="preserve">S-11; no payment expiry (NOT IMPLEMENTED)</t>
  </si>
  <si>
    <t xml:space="preserve">Start work</t>
  </si>
  <si>
    <t xml:space="preserve">IN_PROGRESS</t>
  </si>
  <si>
    <t xml:space="preserve">Dispute</t>
  </si>
  <si>
    <t xml:space="preserve">DISPUTED</t>
  </si>
  <si>
    <t xml:space="preserve">Cancel intentionally not allowed after payment</t>
  </si>
  <si>
    <t xml:space="preserve">Complete (complete_job)</t>
  </si>
  <si>
    <t xml:space="preserve">COMPLETED</t>
  </si>
  <si>
    <t xml:space="preserve">matrix + payment check</t>
  </si>
  <si>
    <t xml:space="preserve">Provider can complete without customer confirmation</t>
  </si>
  <si>
    <t xml:space="preserve">IN_PROGRESS / COMPLETED</t>
  </si>
  <si>
    <t xml:space="preserve">Dispute (open_dispute)</t>
  </si>
  <si>
    <t xml:space="preserve">Time window applies to COMPLETED</t>
  </si>
  <si>
    <t xml:space="preserve">Resolve (resolve_dispute)</t>
  </si>
  <si>
    <t xml:space="preserve">admin</t>
  </si>
  <si>
    <t xml:space="preserve">COMPLETED or CANCELLED (+refund status)</t>
  </si>
  <si>
    <t xml:space="preserve">0004:391, :416</t>
  </si>
  <si>
    <t xml:space="preserve">Refund is a status flag only; partial refunds NOT IMPLEMENTED</t>
  </si>
  <si>
    <t xml:space="preserve">DECLINED / CANCELLED / EXPIRED</t>
  </si>
  <si>
    <t xml:space="preserve">(none)</t>
  </si>
  <si>
    <t xml:space="preserve">none</t>
  </si>
  <si>
    <t xml:space="preserve">static checker: no outgoing edges</t>
  </si>
  <si>
    <t xml:space="preserve">Terminal</t>
  </si>
  <si>
    <t xml:space="preserve">Table</t>
  </si>
  <si>
    <t xml:space="preserve">SELECT</t>
  </si>
  <si>
    <t xml:space="preserve">INSERT</t>
  </si>
  <si>
    <t xml:space="preserve">UPDATE</t>
  </si>
  <si>
    <t xml:space="preserve">DELETE</t>
  </si>
  <si>
    <t xml:space="preserve">profiles</t>
  </si>
  <si>
    <t xml:space="preserve">Self; admin; job counterpart; approved providers (S-01)</t>
  </si>
  <si>
    <t xml:space="preserve">Self, role limited, phone NULL</t>
  </si>
  <si>
    <t xml:space="preserve">Own cols (name, avatar, email, language)</t>
  </si>
  <si>
    <t xml:space="preserve">customer_profiles</t>
  </si>
  <si>
    <t xml:space="preserve">Self / admin</t>
  </si>
  <si>
    <t xml:space="preserve">Self (customer)</t>
  </si>
  <si>
    <t xml:space="preserve">Self</t>
  </si>
  <si>
    <t xml:space="preserve">provider_profiles</t>
  </si>
  <si>
    <t xml:space="preserve">Approved / self / admin (S-02)</t>
  </si>
  <si>
    <t xml:space="preserve">Self, pending, zeroed</t>
  </si>
  <si>
    <t xml:space="preserve">Own non-protected cols</t>
  </si>
  <si>
    <t xml:space="preserve">provider_* child tables</t>
  </si>
  <si>
    <t xml:space="preserve">Visible provider / self / admin</t>
  </si>
  <si>
    <t xml:space="preserve">categories, services</t>
  </si>
  <si>
    <t xml:space="preserve">Active; admin all</t>
  </si>
  <si>
    <t xml:space="preserve">jobs</t>
  </si>
  <si>
    <t xml:space="preserve">Parties / admin</t>
  </si>
  <si>
    <t xml:space="preserve">None (RPC)</t>
  </si>
  <si>
    <t xml:space="preserve">quotes, quote_items</t>
  </si>
  <si>
    <t xml:space="preserve">Provider own; customer non-draft</t>
  </si>
  <si>
    <t xml:space="preserve">payments, invoices, payment_events</t>
  </si>
  <si>
    <t xml:space="preserve">Parties / admin; events admin only</t>
  </si>
  <si>
    <t xml:space="preserve">reviews</t>
  </si>
  <si>
    <t xml:space="preserve">Author / subject / admin; public if approved provider</t>
  </si>
  <si>
    <t xml:space="preserve">disputes</t>
  </si>
  <si>
    <t xml:space="preserve">Parties / opener / admin</t>
  </si>
  <si>
    <t xml:space="preserve">Reports only (S-08)</t>
  </si>
  <si>
    <t xml:space="preserve">notifications</t>
  </si>
  <si>
    <t xml:space="preserve">Recipient</t>
  </si>
  <si>
    <t xml:space="preserve">read_at only</t>
  </si>
  <si>
    <t xml:space="preserve">audit_logs, app_settings</t>
  </si>
  <si>
    <t xml:space="preserve">Admin / invisible</t>
  </si>
  <si>
    <t xml:space="preserve">Data</t>
  </si>
  <si>
    <t xml:space="preserve">Who can access / what</t>
  </si>
  <si>
    <t xml:space="preserve">Phone</t>
  </si>
  <si>
    <t xml:space="preserve">Counterparties and anyone viewing an approved provider; currently NULL (S-03)</t>
  </si>
  <si>
    <t xml:space="preserve">Contact details before a job</t>
  </si>
  <si>
    <t xml:space="preserve">Email</t>
  </si>
  <si>
    <t xml:space="preserve">Same exposure as phone (S-01)</t>
  </si>
  <si>
    <t xml:space="preserve">Unverified, client-editable</t>
  </si>
  <si>
    <t xml:space="preserve">Provider coordinates</t>
  </si>
  <si>
    <t xml:space="preserve">All authenticated users (S-02)</t>
  </si>
  <si>
    <t xml:space="preserve">Provider home/base location</t>
  </si>
  <si>
    <t xml:space="preserve">Customer exact job location</t>
  </si>
  <si>
    <t xml:space="preserve">Two job parties and admin</t>
  </si>
  <si>
    <t xml:space="preserve">Expected</t>
  </si>
  <si>
    <t xml:space="preserve">no</t>
  </si>
  <si>
    <t xml:space="preserve">Customer default address</t>
  </si>
  <si>
    <t xml:space="preserve">Self and admin only</t>
  </si>
  <si>
    <t xml:space="preserve">OK</t>
  </si>
  <si>
    <t xml:space="preserve">Payment data</t>
  </si>
  <si>
    <t xml:space="preserve">No card data exists; payment rows visible to parties; commission columns visible (S-09)</t>
  </si>
  <si>
    <t xml:space="preserve">Revenue model undecided</t>
  </si>
  <si>
    <t xml:space="preserve">Identity documents</t>
  </si>
  <si>
    <t xml:space="preserve">NOT IMPLEMENTED</t>
  </si>
  <si>
    <t xml:space="preserve">Verification evidence has no storage model</t>
  </si>
  <si>
    <t xml:space="preserve">Parties and admin (Storage policy, unexecuted)</t>
  </si>
  <si>
    <t xml:space="preserve">Private bucket</t>
  </si>
  <si>
    <t xml:space="preserve">Portfolio images</t>
  </si>
  <si>
    <t xml:space="preserve">Bucket is public (0006:6)</t>
  </si>
  <si>
    <t xml:space="preserve">By design</t>
  </si>
  <si>
    <t xml:space="preserve">Quotes, reviews, history</t>
  </si>
  <si>
    <t xml:space="preserve">Per RLS</t>
  </si>
  <si>
    <t xml:space="preserve">Group</t>
  </si>
  <si>
    <t xml:space="preserve">Area</t>
  </si>
  <si>
    <t xml:space="preserve">Status</t>
  </si>
  <si>
    <t xml:space="preserve">Provider</t>
  </si>
  <si>
    <t xml:space="preserve">Profile</t>
  </si>
  <si>
    <t xml:space="preserve">Implemented (SQL draft)</t>
  </si>
  <si>
    <t xml:space="preserve">Categories / specialties</t>
  </si>
  <si>
    <t xml:space="preserve">Service area</t>
  </si>
  <si>
    <t xml:space="preserve">Partial: radius filter; neighbourhoods stored but not used for filtering</t>
  </si>
  <si>
    <t xml:space="preserve">Availability</t>
  </si>
  <si>
    <t xml:space="preserve">Partial: weekly windows only, no exceptions</t>
  </si>
  <si>
    <t xml:space="preserve">Verification</t>
  </si>
  <si>
    <t xml:space="preserve">Partial: status + admin RPC; no evidence documents</t>
  </si>
  <si>
    <t xml:space="preserve">Ratings</t>
  </si>
  <si>
    <t xml:space="preserve">Portfolio</t>
  </si>
  <si>
    <t xml:space="preserve">Partial: table + bucket</t>
  </si>
  <si>
    <t xml:space="preserve">Customer</t>
  </si>
  <si>
    <t xml:space="preserve">Request / provider selection</t>
  </si>
  <si>
    <t xml:space="preserve">Location</t>
  </si>
  <si>
    <t xml:space="preserve">Partial: raw lat/lng, not validated against city</t>
  </si>
  <si>
    <t xml:space="preserve">Quote / completion / review</t>
  </si>
  <si>
    <t xml:space="preserve">Payment</t>
  </si>
  <si>
    <t xml:space="preserve">Simulated</t>
  </si>
  <si>
    <t xml:space="preserve">Platform</t>
  </si>
  <si>
    <t xml:space="preserve">Partial: RPCs exist; no bootstrap; UI unknown</t>
  </si>
  <si>
    <t xml:space="preserve">Disputes</t>
  </si>
  <si>
    <t xml:space="preserve">Partial</t>
  </si>
  <si>
    <t xml:space="preserve">Cancellation</t>
  </si>
  <si>
    <t xml:space="preserve">Partial: no fees</t>
  </si>
  <si>
    <t xml:space="preserve">Refunds</t>
  </si>
  <si>
    <t xml:space="preserve">Partial: status only</t>
  </si>
  <si>
    <t xml:space="preserve">Commission</t>
  </si>
  <si>
    <t xml:space="preserve">Partial: configurable, default 0, no payout</t>
  </si>
  <si>
    <t xml:space="preserve">Fraud prevention / fake providers</t>
  </si>
  <si>
    <t xml:space="preserve">Partial: approval gate and open-request cap only</t>
  </si>
  <si>
    <t xml:space="preserve">Fake reviews</t>
  </si>
  <si>
    <t xml:space="preserve">Partial: completed-job gating; demo payments make collusion free</t>
  </si>
  <si>
    <t xml:space="preserve">Partial (S-04)</t>
  </si>
  <si>
    <t xml:space="preserve">Frontend aspects</t>
  </si>
  <si>
    <t xml:space="preserve">All</t>
  </si>
  <si>
    <t xml:space="preserve">Unknown / not inspectable</t>
  </si>
  <si>
    <t xml:space="preserve">Category</t>
  </si>
  <si>
    <t xml:space="preserve">Exists</t>
  </si>
  <si>
    <t xml:space="preserve">Executed</t>
  </si>
  <si>
    <t xml:space="preserve">Passed</t>
  </si>
  <si>
    <t xml:space="preserve">Real Supabase</t>
  </si>
  <si>
    <t xml:space="preserve">Static structural checker (static_check.py)</t>
  </si>
  <si>
    <t xml:space="preserve">EXISTS</t>
  </si>
  <si>
    <t xml:space="preserve">YES (structure only)</t>
  </si>
  <si>
    <t xml:space="preserve">Seed generator assertions</t>
  </si>
  <si>
    <t xml:space="preserve">pgTAP DB/RLS tests (001_behavior.test.sql)</t>
  </si>
  <si>
    <t xml:space="preserve">EXISTS (18 assertions)</t>
  </si>
  <si>
    <t xml:space="preserve">NO</t>
  </si>
  <si>
    <t xml:space="preserve">NO; S-13 defect likely</t>
  </si>
  <si>
    <t xml:space="preserve">Claimed PostgreSQL 16 behavioural tests</t>
  </si>
  <si>
    <t xml:space="preserve">UNKNOWN</t>
  </si>
  <si>
    <t xml:space="preserve">NO (substitute is not Supabase)</t>
  </si>
  <si>
    <t xml:space="preserve">Auth / unit / integration / E2E / browser / responsive</t>
  </si>
  <si>
    <t xml:space="preserve">Role-boundary / RLS tests</t>
  </si>
  <si>
    <t xml:space="preserve">Partial (few pgTAP assertions)</t>
  </si>
  <si>
    <t xml:space="preserve">#</t>
  </si>
  <si>
    <t xml:space="preserve">Check</t>
  </si>
  <si>
    <t xml:space="preserve">Notes</t>
  </si>
  <si>
    <t xml:space="preserve">Obtain full ZIP; inspect package.json, src/, routes, hooks, services</t>
  </si>
  <si>
    <t xml:space="preserve">Diff repo claude22 SQL against my copy; record differences</t>
  </si>
  <si>
    <t xml:space="preserve">Re-test S-01 to S-12 against the repo's SQL</t>
  </si>
  <si>
    <t xml:space="preserve">Confirm market: Israel / English-first; check +972 phone validation, cities, currency, timezone, name_ar, languages</t>
  </si>
  <si>
    <t xml:space="preserve">Verify English/LTR implementation, accessibility, responsive layout</t>
  </si>
  <si>
    <t xml:space="preserve">Inspect auth: login, OTP, registration, role selection, logout, session storage</t>
  </si>
  <si>
    <t xml:space="preserve">Confirm KI-016 in repo and how verified phone is stored</t>
  </si>
  <si>
    <t xml:space="preserve">Inspect Customer, Provider and Admin pages; route guards; role manipulation from client</t>
  </si>
  <si>
    <t xml:space="preserve">Verify admin bootstrap path; no client can self-assign admin</t>
  </si>
  <si>
    <t xml:space="preserve">Inspect Supabase client and env files; ensure no service-role key in client bundle</t>
  </si>
  <si>
    <t xml:space="preserve">Inspect demo-flag isolation (demo OTP, mock data, simulated payment)</t>
  </si>
  <si>
    <t xml:space="preserve">Inspect upload handling and dangerouslySetInnerHTML / XSS surfaces</t>
  </si>
  <si>
    <t xml:space="preserve">Run TypeScript, ESLint, unit tests, E2E; record outputs</t>
  </si>
  <si>
    <t xml:space="preserve">Apply migrations to LOCAL Supabase (not production) and run pgTAP/RLS tests</t>
  </si>
  <si>
    <t xml:space="preserve">Verify Storage policies and Realtime behaviour</t>
  </si>
  <si>
    <t xml:space="preserve">Compare frontend job statuses/types with SQL enums and transitions</t>
  </si>
  <si>
    <t xml:space="preserve">Run dependency audit; find unused dependencies</t>
  </si>
  <si>
    <t xml:space="preserve">Verify documentation vs code (SESSION_HANDOFF.md, FILE_MAP.md)</t>
  </si>
  <si>
    <t xml:space="preserve">Order</t>
  </si>
  <si>
    <t xml:space="preserve">Verify / fix</t>
  </si>
  <si>
    <t xml:space="preserve">Findings</t>
  </si>
  <si>
    <t xml:space="preserve">Get the real repo and diff the SQL (everything is conditional until then)</t>
  </si>
  <si>
    <t xml:space="preserve">Confirm market and language, then decide C-01</t>
  </si>
  <si>
    <t xml:space="preserve">Execute migrations and tests on local Supabase (gate for all SQL findings)</t>
  </si>
  <si>
    <t xml:space="preserve">S-13, all SQL</t>
  </si>
  <si>
    <t xml:space="preserve">Phone linking with privacy exposures</t>
  </si>
  <si>
    <t xml:space="preserve">S-03, S-01, S-02</t>
  </si>
  <si>
    <t xml:space="preserve">Race and lock order; input bounds, reports, commission visibility</t>
  </si>
  <si>
    <t xml:space="preserve">S-04, S-05, S-06, S-07, S-08, S-09</t>
  </si>
  <si>
    <t xml:space="preserve">Deletion strategy, prototype row, seed guard (before any non-dev deployment)</t>
  </si>
  <si>
    <t xml:space="preserve">S-10, S-11, S-12</t>
  </si>
  <si>
    <t xml:space="preserve">Fix the test defect when tests are first run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</si>
</sst>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F4B183"/>
        <bgColor rgb="FFFFC7CE"/>
      </patternFill>
    </fill>
    <fill>
      <patternFill patternType="solid">
        <fgColor rgb="FFFFE699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COUNTIF(Findings!$B$2:$B$20,A5)</f>
        <v>0</v>
      </c>
      <c r="C5" s="5" t="n">
        <f aca="false">COUNTIFS(Findings!$B$2:$B$20,A5,Findings!$C$2:$C$20,"Confirmed")</f>
        <v>0</v>
      </c>
      <c r="D5" s="5" t="n">
        <f aca="false">COUNTIFS(Findings!$B$2:$B$20,A5,Findings!$C$2:$C$20,"Conditional")</f>
        <v>0</v>
      </c>
    </row>
    <row r="6" customFormat="false" ht="15" hidden="false" customHeight="false" outlineLevel="0" collapsed="false">
      <c r="A6" s="6" t="s">
        <v>7</v>
      </c>
      <c r="B6" s="5" t="n">
        <f aca="false">COUNTIF(Findings!$B$2:$B$20,A6)</f>
        <v>1</v>
      </c>
      <c r="C6" s="5" t="n">
        <f aca="false">COUNTIFS(Findings!$B$2:$B$20,A6,Findings!$C$2:$C$20,"Confirmed")</f>
        <v>0</v>
      </c>
      <c r="D6" s="5" t="n">
        <f aca="false">COUNTIFS(Findings!$B$2:$B$20,A6,Findings!$C$2:$C$20,"Conditional")</f>
        <v>1</v>
      </c>
    </row>
    <row r="7" customFormat="false" ht="15" hidden="false" customHeight="false" outlineLevel="0" collapsed="false">
      <c r="A7" s="7" t="s">
        <v>8</v>
      </c>
      <c r="B7" s="5" t="n">
        <f aca="false">COUNTIF(Findings!$B$2:$B$20,A7)</f>
        <v>3</v>
      </c>
      <c r="C7" s="5" t="n">
        <f aca="false">COUNTIFS(Findings!$B$2:$B$20,A7,Findings!$C$2:$C$20,"Confirmed")</f>
        <v>3</v>
      </c>
      <c r="D7" s="5" t="n">
        <f aca="false">COUNTIFS(Findings!$B$2:$B$20,A7,Findings!$C$2:$C$20,"Conditional")</f>
        <v>0</v>
      </c>
    </row>
    <row r="8" customFormat="false" ht="15" hidden="false" customHeight="false" outlineLevel="0" collapsed="false">
      <c r="A8" s="8" t="s">
        <v>9</v>
      </c>
      <c r="B8" s="5" t="n">
        <f aca="false">COUNTIF(Findings!$B$2:$B$20,A8)</f>
        <v>11</v>
      </c>
      <c r="C8" s="5" t="n">
        <f aca="false">COUNTIFS(Findings!$B$2:$B$20,A8,Findings!$C$2:$C$20,"Confirmed")</f>
        <v>10</v>
      </c>
      <c r="D8" s="5" t="n">
        <f aca="false">COUNTIFS(Findings!$B$2:$B$20,A8,Findings!$C$2:$C$20,"Conditional")</f>
        <v>1</v>
      </c>
    </row>
    <row r="9" customFormat="false" ht="15" hidden="false" customHeight="false" outlineLevel="0" collapsed="false">
      <c r="A9" s="9" t="s">
        <v>10</v>
      </c>
      <c r="B9" s="5" t="n">
        <f aca="false">COUNTIF(Findings!$B$2:$B$20,A9)</f>
        <v>4</v>
      </c>
      <c r="C9" s="5" t="n">
        <f aca="false">COUNTIFS(Findings!$B$2:$B$20,A9,Findings!$C$2:$C$20,"Confirmed")</f>
        <v>3</v>
      </c>
      <c r="D9" s="5" t="n">
        <f aca="false">COUNTIFS(Findings!$B$2:$B$20,A9,Findings!$C$2:$C$20,"Conditional")</f>
        <v>1</v>
      </c>
    </row>
    <row r="10" customFormat="false" ht="15" hidden="false" customHeight="false" outlineLevel="0" collapsed="false">
      <c r="A10" s="10" t="s">
        <v>3</v>
      </c>
      <c r="B10" s="10" t="n">
        <f aca="false">SUM(B5:B9)</f>
        <v>19</v>
      </c>
      <c r="C10" s="10" t="n">
        <f aca="false">SUM(C5:C9)</f>
        <v>16</v>
      </c>
      <c r="D10" s="10" t="n">
        <f aca="false">SUM(D5:D9)</f>
        <v>3</v>
      </c>
    </row>
    <row r="12" customFormat="false" ht="15" hidden="false" customHeight="false" outlineLevel="0" collapsed="false">
      <c r="A12" s="11" t="s">
        <v>11</v>
      </c>
    </row>
    <row r="13" customFormat="false" ht="15" hidden="false" customHeight="false" outlineLevel="0" collapsed="false">
      <c r="A13" s="12" t="s">
        <v>12</v>
      </c>
      <c r="B13" s="12" t="n">
        <f aca="false">COUNTIF('Verification Checklist'!$C$2:$C$19,A13)</f>
        <v>18</v>
      </c>
    </row>
    <row r="14" customFormat="false" ht="15" hidden="false" customHeight="false" outlineLevel="0" collapsed="false">
      <c r="A14" s="12" t="s">
        <v>13</v>
      </c>
      <c r="B14" s="12" t="n">
        <f aca="false">COUNTIF('Verification Checklist'!$C$2:$C$19,A14)</f>
        <v>0</v>
      </c>
    </row>
    <row r="15" customFormat="false" ht="15" hidden="false" customHeight="false" outlineLevel="0" collapsed="false">
      <c r="A15" s="12" t="s">
        <v>14</v>
      </c>
      <c r="B15" s="12" t="n">
        <f aca="false">COUNTIF('Verification Checklist'!$C$2:$C$19,A15)</f>
        <v>0</v>
      </c>
    </row>
    <row r="16" customFormat="false" ht="15" hidden="false" customHeight="false" outlineLevel="0" collapsed="false">
      <c r="A16" s="12" t="s">
        <v>15</v>
      </c>
      <c r="B16" s="12" t="n">
        <f aca="false">COUNTIF('Verification Checklist'!$C$2:$C$19,A16)</f>
        <v>0</v>
      </c>
    </row>
    <row r="17" customFormat="false" ht="15" hidden="false" customHeight="false" outlineLevel="0" collapsed="false">
      <c r="A17" s="11" t="s">
        <v>16</v>
      </c>
      <c r="B17" s="11" t="n">
        <f aca="false">SUM(B13:B16)</f>
        <v>18</v>
      </c>
    </row>
    <row r="19" customFormat="false" ht="15" hidden="false" customHeight="false" outlineLevel="0" collapsed="false">
      <c r="A19" s="12" t="s">
        <v>17</v>
      </c>
    </row>
    <row r="20" customFormat="false" ht="15" hidden="false" customHeight="false" outlineLevel="0" collapsed="false">
      <c r="A20" s="12" t="s">
        <v>18</v>
      </c>
    </row>
    <row r="21" customFormat="false" ht="15" hidden="false" customHeight="false" outlineLevel="0" collapsed="false">
      <c r="A21" s="12" t="s">
        <v>19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6" min="5" style="0" width="55"/>
    <col collapsed="false" customWidth="true" hidden="false" outlineLevel="0" max="8" min="7" style="0" width="16"/>
  </cols>
  <sheetData>
    <row r="1" customFormat="false" ht="23.85" hidden="false" customHeight="false" outlineLevel="0" collapsed="false">
      <c r="A1" s="13" t="s">
        <v>20</v>
      </c>
      <c r="B1" s="13" t="s">
        <v>2</v>
      </c>
      <c r="C1" s="13" t="s">
        <v>21</v>
      </c>
      <c r="D1" s="13" t="s">
        <v>22</v>
      </c>
      <c r="E1" s="13" t="s">
        <v>23</v>
      </c>
      <c r="F1" s="13" t="s">
        <v>24</v>
      </c>
      <c r="G1" s="13" t="s">
        <v>25</v>
      </c>
      <c r="H1" s="13" t="s">
        <v>26</v>
      </c>
    </row>
    <row r="2" customFormat="false" ht="23.85" hidden="false" customHeight="false" outlineLevel="0" collapsed="false">
      <c r="A2" s="14" t="s">
        <v>27</v>
      </c>
      <c r="B2" s="15" t="s">
        <v>8</v>
      </c>
      <c r="C2" s="14" t="s">
        <v>4</v>
      </c>
      <c r="D2" s="14" t="s">
        <v>28</v>
      </c>
      <c r="E2" s="14" t="s">
        <v>29</v>
      </c>
      <c r="F2" s="14" t="s">
        <v>30</v>
      </c>
      <c r="G2" s="14" t="s">
        <v>31</v>
      </c>
      <c r="H2" s="14" t="s">
        <v>32</v>
      </c>
    </row>
    <row r="3" customFormat="false" ht="23.85" hidden="false" customHeight="false" outlineLevel="0" collapsed="false">
      <c r="A3" s="14" t="s">
        <v>33</v>
      </c>
      <c r="B3" s="15" t="s">
        <v>8</v>
      </c>
      <c r="C3" s="14" t="s">
        <v>4</v>
      </c>
      <c r="D3" s="14" t="s">
        <v>28</v>
      </c>
      <c r="E3" s="14" t="s">
        <v>34</v>
      </c>
      <c r="F3" s="14" t="s">
        <v>35</v>
      </c>
      <c r="G3" s="14" t="s">
        <v>31</v>
      </c>
      <c r="H3" s="14" t="s">
        <v>32</v>
      </c>
    </row>
    <row r="4" customFormat="false" ht="23.85" hidden="false" customHeight="false" outlineLevel="0" collapsed="false">
      <c r="A4" s="14" t="s">
        <v>36</v>
      </c>
      <c r="B4" s="15" t="s">
        <v>8</v>
      </c>
      <c r="C4" s="14" t="s">
        <v>4</v>
      </c>
      <c r="D4" s="14" t="s">
        <v>37</v>
      </c>
      <c r="E4" s="14" t="s">
        <v>38</v>
      </c>
      <c r="F4" s="14" t="s">
        <v>39</v>
      </c>
      <c r="G4" s="14" t="s">
        <v>31</v>
      </c>
      <c r="H4" s="14" t="s">
        <v>32</v>
      </c>
    </row>
    <row r="5" customFormat="false" ht="35.05" hidden="false" customHeight="false" outlineLevel="0" collapsed="false">
      <c r="A5" s="14" t="s">
        <v>40</v>
      </c>
      <c r="B5" s="16" t="s">
        <v>9</v>
      </c>
      <c r="C5" s="14" t="s">
        <v>4</v>
      </c>
      <c r="D5" s="14" t="s">
        <v>41</v>
      </c>
      <c r="E5" s="14" t="s">
        <v>42</v>
      </c>
      <c r="F5" s="14" t="s">
        <v>43</v>
      </c>
      <c r="G5" s="14" t="s">
        <v>44</v>
      </c>
      <c r="H5" s="14" t="s">
        <v>32</v>
      </c>
    </row>
    <row r="6" customFormat="false" ht="23.85" hidden="false" customHeight="false" outlineLevel="0" collapsed="false">
      <c r="A6" s="14" t="s">
        <v>45</v>
      </c>
      <c r="B6" s="16" t="s">
        <v>9</v>
      </c>
      <c r="C6" s="14" t="s">
        <v>4</v>
      </c>
      <c r="D6" s="14" t="s">
        <v>46</v>
      </c>
      <c r="E6" s="14" t="s">
        <v>47</v>
      </c>
      <c r="F6" s="14" t="s">
        <v>48</v>
      </c>
      <c r="G6" s="14" t="s">
        <v>49</v>
      </c>
      <c r="H6" s="14" t="s">
        <v>32</v>
      </c>
    </row>
    <row r="7" customFormat="false" ht="23.85" hidden="false" customHeight="false" outlineLevel="0" collapsed="false">
      <c r="A7" s="14" t="s">
        <v>50</v>
      </c>
      <c r="B7" s="16" t="s">
        <v>9</v>
      </c>
      <c r="C7" s="14" t="s">
        <v>4</v>
      </c>
      <c r="D7" s="14" t="s">
        <v>51</v>
      </c>
      <c r="E7" s="14" t="s">
        <v>52</v>
      </c>
      <c r="F7" s="14" t="s">
        <v>53</v>
      </c>
      <c r="G7" s="14" t="s">
        <v>31</v>
      </c>
      <c r="H7" s="14" t="s">
        <v>32</v>
      </c>
    </row>
    <row r="8" customFormat="false" ht="23.85" hidden="false" customHeight="false" outlineLevel="0" collapsed="false">
      <c r="A8" s="14" t="s">
        <v>54</v>
      </c>
      <c r="B8" s="16" t="s">
        <v>9</v>
      </c>
      <c r="C8" s="14" t="s">
        <v>4</v>
      </c>
      <c r="D8" s="14" t="s">
        <v>55</v>
      </c>
      <c r="E8" s="14" t="s">
        <v>56</v>
      </c>
      <c r="F8" s="14" t="s">
        <v>57</v>
      </c>
      <c r="G8" s="14" t="s">
        <v>49</v>
      </c>
      <c r="H8" s="14" t="s">
        <v>32</v>
      </c>
    </row>
    <row r="9" customFormat="false" ht="23.85" hidden="false" customHeight="false" outlineLevel="0" collapsed="false">
      <c r="A9" s="14" t="s">
        <v>58</v>
      </c>
      <c r="B9" s="16" t="s">
        <v>9</v>
      </c>
      <c r="C9" s="14" t="s">
        <v>4</v>
      </c>
      <c r="D9" s="14" t="s">
        <v>59</v>
      </c>
      <c r="E9" s="14" t="s">
        <v>60</v>
      </c>
      <c r="F9" s="14" t="s">
        <v>61</v>
      </c>
      <c r="G9" s="14" t="s">
        <v>31</v>
      </c>
      <c r="H9" s="14" t="s">
        <v>32</v>
      </c>
    </row>
    <row r="10" customFormat="false" ht="23.85" hidden="false" customHeight="false" outlineLevel="0" collapsed="false">
      <c r="A10" s="14" t="s">
        <v>62</v>
      </c>
      <c r="B10" s="16" t="s">
        <v>9</v>
      </c>
      <c r="C10" s="14" t="s">
        <v>4</v>
      </c>
      <c r="D10" s="14" t="s">
        <v>63</v>
      </c>
      <c r="E10" s="14" t="s">
        <v>64</v>
      </c>
      <c r="F10" s="14" t="s">
        <v>65</v>
      </c>
      <c r="G10" s="14" t="s">
        <v>49</v>
      </c>
      <c r="H10" s="14" t="s">
        <v>32</v>
      </c>
    </row>
    <row r="11" customFormat="false" ht="23.85" hidden="false" customHeight="false" outlineLevel="0" collapsed="false">
      <c r="A11" s="14" t="s">
        <v>66</v>
      </c>
      <c r="B11" s="16" t="s">
        <v>9</v>
      </c>
      <c r="C11" s="14" t="s">
        <v>4</v>
      </c>
      <c r="D11" s="14" t="s">
        <v>67</v>
      </c>
      <c r="E11" s="14" t="s">
        <v>68</v>
      </c>
      <c r="F11" s="14" t="s">
        <v>69</v>
      </c>
      <c r="G11" s="14" t="s">
        <v>49</v>
      </c>
      <c r="H11" s="14" t="s">
        <v>32</v>
      </c>
    </row>
    <row r="12" customFormat="false" ht="23.85" hidden="false" customHeight="false" outlineLevel="0" collapsed="false">
      <c r="A12" s="14" t="s">
        <v>70</v>
      </c>
      <c r="B12" s="16" t="s">
        <v>9</v>
      </c>
      <c r="C12" s="14" t="s">
        <v>4</v>
      </c>
      <c r="D12" s="14" t="s">
        <v>71</v>
      </c>
      <c r="E12" s="14" t="s">
        <v>72</v>
      </c>
      <c r="F12" s="14" t="s">
        <v>73</v>
      </c>
      <c r="G12" s="14" t="s">
        <v>31</v>
      </c>
      <c r="H12" s="14" t="s">
        <v>32</v>
      </c>
    </row>
    <row r="13" customFormat="false" ht="23.85" hidden="false" customHeight="false" outlineLevel="0" collapsed="false">
      <c r="A13" s="14" t="s">
        <v>74</v>
      </c>
      <c r="B13" s="16" t="s">
        <v>9</v>
      </c>
      <c r="C13" s="14" t="s">
        <v>4</v>
      </c>
      <c r="D13" s="14" t="s">
        <v>75</v>
      </c>
      <c r="E13" s="14" t="s">
        <v>76</v>
      </c>
      <c r="F13" s="14" t="s">
        <v>77</v>
      </c>
      <c r="G13" s="14" t="s">
        <v>31</v>
      </c>
      <c r="H13" s="14" t="s">
        <v>32</v>
      </c>
    </row>
    <row r="14" customFormat="false" ht="23.85" hidden="false" customHeight="false" outlineLevel="0" collapsed="false">
      <c r="A14" s="14" t="s">
        <v>78</v>
      </c>
      <c r="B14" s="16" t="s">
        <v>9</v>
      </c>
      <c r="C14" s="14" t="s">
        <v>4</v>
      </c>
      <c r="D14" s="14" t="s">
        <v>79</v>
      </c>
      <c r="E14" s="14" t="s">
        <v>80</v>
      </c>
      <c r="F14" s="14" t="s">
        <v>81</v>
      </c>
      <c r="G14" s="14" t="s">
        <v>49</v>
      </c>
      <c r="H14" s="14" t="s">
        <v>82</v>
      </c>
    </row>
    <row r="15" customFormat="false" ht="23.85" hidden="false" customHeight="false" outlineLevel="0" collapsed="false">
      <c r="A15" s="14" t="s">
        <v>83</v>
      </c>
      <c r="B15" s="17" t="s">
        <v>10</v>
      </c>
      <c r="C15" s="14" t="s">
        <v>4</v>
      </c>
      <c r="D15" s="14" t="s">
        <v>84</v>
      </c>
      <c r="E15" s="14" t="s">
        <v>85</v>
      </c>
      <c r="F15" s="14" t="s">
        <v>86</v>
      </c>
      <c r="G15" s="14" t="s">
        <v>31</v>
      </c>
      <c r="H15" s="14" t="s">
        <v>32</v>
      </c>
    </row>
    <row r="16" customFormat="false" ht="23.85" hidden="false" customHeight="false" outlineLevel="0" collapsed="false">
      <c r="A16" s="14" t="s">
        <v>87</v>
      </c>
      <c r="B16" s="17" t="s">
        <v>10</v>
      </c>
      <c r="C16" s="14" t="s">
        <v>4</v>
      </c>
      <c r="D16" s="14" t="s">
        <v>88</v>
      </c>
      <c r="E16" s="14" t="s">
        <v>89</v>
      </c>
      <c r="F16" s="14" t="s">
        <v>90</v>
      </c>
      <c r="G16" s="14" t="s">
        <v>31</v>
      </c>
      <c r="H16" s="14" t="s">
        <v>32</v>
      </c>
    </row>
    <row r="17" customFormat="false" ht="23.85" hidden="false" customHeight="false" outlineLevel="0" collapsed="false">
      <c r="A17" s="14" t="s">
        <v>91</v>
      </c>
      <c r="B17" s="17" t="s">
        <v>10</v>
      </c>
      <c r="C17" s="14" t="s">
        <v>4</v>
      </c>
      <c r="D17" s="14" t="s">
        <v>92</v>
      </c>
      <c r="E17" s="14" t="s">
        <v>93</v>
      </c>
      <c r="F17" s="14" t="s">
        <v>94</v>
      </c>
      <c r="G17" s="14" t="s">
        <v>31</v>
      </c>
      <c r="H17" s="14" t="s">
        <v>32</v>
      </c>
    </row>
    <row r="18" customFormat="false" ht="46.25" hidden="false" customHeight="false" outlineLevel="0" collapsed="false">
      <c r="A18" s="14" t="s">
        <v>95</v>
      </c>
      <c r="B18" s="18" t="s">
        <v>7</v>
      </c>
      <c r="C18" s="14" t="s">
        <v>5</v>
      </c>
      <c r="D18" s="14" t="s">
        <v>96</v>
      </c>
      <c r="E18" s="14" t="s">
        <v>97</v>
      </c>
      <c r="F18" s="14" t="s">
        <v>98</v>
      </c>
      <c r="G18" s="14" t="s">
        <v>99</v>
      </c>
      <c r="H18" s="14" t="s">
        <v>32</v>
      </c>
    </row>
    <row r="19" customFormat="false" ht="23.85" hidden="false" customHeight="false" outlineLevel="0" collapsed="false">
      <c r="A19" s="14" t="s">
        <v>100</v>
      </c>
      <c r="B19" s="16" t="s">
        <v>9</v>
      </c>
      <c r="C19" s="14" t="s">
        <v>5</v>
      </c>
      <c r="D19" s="14" t="s">
        <v>101</v>
      </c>
      <c r="E19" s="14" t="s">
        <v>102</v>
      </c>
      <c r="F19" s="14" t="s">
        <v>103</v>
      </c>
      <c r="G19" s="14" t="s">
        <v>104</v>
      </c>
      <c r="H19" s="14" t="s">
        <v>32</v>
      </c>
    </row>
    <row r="20" customFormat="false" ht="15" hidden="false" customHeight="false" outlineLevel="0" collapsed="false">
      <c r="A20" s="14" t="s">
        <v>105</v>
      </c>
      <c r="B20" s="17" t="s">
        <v>10</v>
      </c>
      <c r="C20" s="14" t="s">
        <v>5</v>
      </c>
      <c r="D20" s="14" t="s">
        <v>106</v>
      </c>
      <c r="E20" s="14" t="s">
        <v>107</v>
      </c>
      <c r="F20" s="14" t="s">
        <v>108</v>
      </c>
      <c r="G20" s="14" t="s">
        <v>109</v>
      </c>
      <c r="H20" s="14" t="s">
        <v>32</v>
      </c>
    </row>
  </sheetData>
  <autoFilter ref="A1: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3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3" t="s">
        <v>110</v>
      </c>
      <c r="B1" s="13" t="s">
        <v>111</v>
      </c>
      <c r="C1" s="13" t="s">
        <v>112</v>
      </c>
      <c r="D1" s="13" t="s">
        <v>113</v>
      </c>
      <c r="E1" s="13" t="s">
        <v>114</v>
      </c>
      <c r="F1" s="13" t="s">
        <v>115</v>
      </c>
    </row>
    <row r="2" customFormat="false" ht="15" hidden="false" customHeight="false" outlineLevel="0" collapsed="false">
      <c r="A2" s="14" t="s">
        <v>116</v>
      </c>
      <c r="B2" s="14" t="s">
        <v>117</v>
      </c>
      <c r="C2" s="14" t="s">
        <v>118</v>
      </c>
      <c r="D2" s="14" t="s">
        <v>119</v>
      </c>
      <c r="E2" s="14" t="s">
        <v>120</v>
      </c>
      <c r="F2" s="14" t="s">
        <v>121</v>
      </c>
    </row>
    <row r="3" customFormat="false" ht="15" hidden="false" customHeight="false" outlineLevel="0" collapsed="false">
      <c r="A3" s="14" t="s">
        <v>116</v>
      </c>
      <c r="B3" s="14" t="s">
        <v>122</v>
      </c>
      <c r="C3" s="14" t="s">
        <v>118</v>
      </c>
      <c r="D3" s="14" t="s">
        <v>123</v>
      </c>
      <c r="E3" s="14" t="s">
        <v>124</v>
      </c>
      <c r="F3" s="14" t="s">
        <v>125</v>
      </c>
    </row>
    <row r="4" customFormat="false" ht="15" hidden="false" customHeight="false" outlineLevel="0" collapsed="false">
      <c r="A4" s="14" t="s">
        <v>116</v>
      </c>
      <c r="B4" s="14" t="s">
        <v>126</v>
      </c>
      <c r="C4" s="14" t="s">
        <v>127</v>
      </c>
      <c r="D4" s="14" t="s">
        <v>128</v>
      </c>
      <c r="E4" s="14" t="s">
        <v>124</v>
      </c>
      <c r="F4" s="14" t="s">
        <v>125</v>
      </c>
    </row>
    <row r="5" customFormat="false" ht="15" hidden="false" customHeight="false" outlineLevel="0" collapsed="false">
      <c r="A5" s="14" t="s">
        <v>116</v>
      </c>
      <c r="B5" s="14" t="s">
        <v>129</v>
      </c>
      <c r="C5" s="14" t="s">
        <v>130</v>
      </c>
      <c r="D5" s="14" t="s">
        <v>131</v>
      </c>
      <c r="E5" s="14" t="s">
        <v>124</v>
      </c>
      <c r="F5" s="14" t="s">
        <v>132</v>
      </c>
    </row>
    <row r="6" customFormat="false" ht="15" hidden="false" customHeight="false" outlineLevel="0" collapsed="false">
      <c r="A6" s="14" t="s">
        <v>119</v>
      </c>
      <c r="B6" s="14" t="s">
        <v>133</v>
      </c>
      <c r="C6" s="14" t="s">
        <v>118</v>
      </c>
      <c r="D6" s="14" t="s">
        <v>134</v>
      </c>
      <c r="E6" s="14" t="s">
        <v>124</v>
      </c>
      <c r="F6" s="14" t="s">
        <v>125</v>
      </c>
    </row>
    <row r="7" customFormat="false" ht="23.85" hidden="false" customHeight="false" outlineLevel="0" collapsed="false">
      <c r="A7" s="14" t="s">
        <v>135</v>
      </c>
      <c r="B7" s="14" t="s">
        <v>136</v>
      </c>
      <c r="C7" s="14" t="s">
        <v>137</v>
      </c>
      <c r="D7" s="14" t="s">
        <v>128</v>
      </c>
      <c r="E7" s="14" t="s">
        <v>124</v>
      </c>
      <c r="F7" s="14" t="s">
        <v>138</v>
      </c>
    </row>
    <row r="8" customFormat="false" ht="15" hidden="false" customHeight="false" outlineLevel="0" collapsed="false">
      <c r="A8" s="14" t="s">
        <v>134</v>
      </c>
      <c r="B8" s="14" t="s">
        <v>139</v>
      </c>
      <c r="C8" s="14" t="s">
        <v>118</v>
      </c>
      <c r="D8" s="14" t="s">
        <v>140</v>
      </c>
      <c r="E8" s="14" t="s">
        <v>124</v>
      </c>
      <c r="F8" s="14" t="s">
        <v>141</v>
      </c>
    </row>
    <row r="9" customFormat="false" ht="15" hidden="false" customHeight="false" outlineLevel="0" collapsed="false">
      <c r="A9" s="14" t="s">
        <v>140</v>
      </c>
      <c r="B9" s="14" t="s">
        <v>142</v>
      </c>
      <c r="C9" s="14" t="s">
        <v>118</v>
      </c>
      <c r="D9" s="14" t="s">
        <v>143</v>
      </c>
      <c r="E9" s="14" t="s">
        <v>124</v>
      </c>
      <c r="F9" s="14" t="s">
        <v>125</v>
      </c>
    </row>
    <row r="10" customFormat="false" ht="15" hidden="false" customHeight="false" outlineLevel="0" collapsed="false">
      <c r="A10" s="14" t="s">
        <v>143</v>
      </c>
      <c r="B10" s="14" t="s">
        <v>144</v>
      </c>
      <c r="C10" s="14" t="s">
        <v>118</v>
      </c>
      <c r="D10" s="14" t="s">
        <v>145</v>
      </c>
      <c r="E10" s="14" t="s">
        <v>146</v>
      </c>
      <c r="F10" s="14" t="s">
        <v>125</v>
      </c>
    </row>
    <row r="11" customFormat="false" ht="15" hidden="false" customHeight="false" outlineLevel="0" collapsed="false">
      <c r="A11" s="14" t="s">
        <v>145</v>
      </c>
      <c r="B11" s="14" t="s">
        <v>147</v>
      </c>
      <c r="C11" s="14" t="s">
        <v>127</v>
      </c>
      <c r="D11" s="14" t="s">
        <v>148</v>
      </c>
      <c r="E11" s="14" t="s">
        <v>124</v>
      </c>
      <c r="F11" s="14" t="s">
        <v>149</v>
      </c>
    </row>
    <row r="12" customFormat="false" ht="15" hidden="false" customHeight="false" outlineLevel="0" collapsed="false">
      <c r="A12" s="14" t="s">
        <v>145</v>
      </c>
      <c r="B12" s="14" t="s">
        <v>136</v>
      </c>
      <c r="C12" s="14" t="s">
        <v>137</v>
      </c>
      <c r="D12" s="14" t="s">
        <v>128</v>
      </c>
      <c r="E12" s="14" t="s">
        <v>124</v>
      </c>
      <c r="F12" s="14" t="s">
        <v>125</v>
      </c>
    </row>
    <row r="13" customFormat="false" ht="15" hidden="false" customHeight="false" outlineLevel="0" collapsed="false">
      <c r="A13" s="14" t="s">
        <v>145</v>
      </c>
      <c r="B13" s="14" t="s">
        <v>150</v>
      </c>
      <c r="C13" s="14" t="s">
        <v>130</v>
      </c>
      <c r="D13" s="14" t="s">
        <v>131</v>
      </c>
      <c r="E13" s="14" t="s">
        <v>124</v>
      </c>
      <c r="F13" s="14" t="s">
        <v>132</v>
      </c>
    </row>
    <row r="14" customFormat="false" ht="15" hidden="false" customHeight="false" outlineLevel="0" collapsed="false">
      <c r="A14" s="14" t="s">
        <v>145</v>
      </c>
      <c r="B14" s="14" t="s">
        <v>151</v>
      </c>
      <c r="C14" s="14" t="s">
        <v>127</v>
      </c>
      <c r="D14" s="14" t="s">
        <v>152</v>
      </c>
      <c r="E14" s="14" t="s">
        <v>153</v>
      </c>
      <c r="F14" s="14" t="s">
        <v>154</v>
      </c>
    </row>
    <row r="15" customFormat="false" ht="23.85" hidden="false" customHeight="false" outlineLevel="0" collapsed="false">
      <c r="A15" s="14" t="s">
        <v>148</v>
      </c>
      <c r="B15" s="14" t="s">
        <v>155</v>
      </c>
      <c r="C15" s="14" t="s">
        <v>156</v>
      </c>
      <c r="D15" s="14" t="s">
        <v>157</v>
      </c>
      <c r="E15" s="14" t="s">
        <v>158</v>
      </c>
      <c r="F15" s="14" t="s">
        <v>159</v>
      </c>
    </row>
    <row r="16" customFormat="false" ht="15" hidden="false" customHeight="false" outlineLevel="0" collapsed="false">
      <c r="A16" s="14" t="s">
        <v>148</v>
      </c>
      <c r="B16" s="14" t="s">
        <v>136</v>
      </c>
      <c r="C16" s="14" t="s">
        <v>127</v>
      </c>
      <c r="D16" s="14" t="s">
        <v>128</v>
      </c>
      <c r="E16" s="14" t="s">
        <v>124</v>
      </c>
      <c r="F16" s="14" t="s">
        <v>125</v>
      </c>
    </row>
    <row r="17" customFormat="false" ht="15" hidden="false" customHeight="false" outlineLevel="0" collapsed="false">
      <c r="A17" s="14" t="s">
        <v>157</v>
      </c>
      <c r="B17" s="14" t="s">
        <v>160</v>
      </c>
      <c r="C17" s="14" t="s">
        <v>118</v>
      </c>
      <c r="D17" s="14" t="s">
        <v>161</v>
      </c>
      <c r="E17" s="14" t="s">
        <v>124</v>
      </c>
      <c r="F17" s="14" t="s">
        <v>125</v>
      </c>
    </row>
    <row r="18" customFormat="false" ht="15" hidden="false" customHeight="false" outlineLevel="0" collapsed="false">
      <c r="A18" s="14" t="s">
        <v>157</v>
      </c>
      <c r="B18" s="14" t="s">
        <v>162</v>
      </c>
      <c r="C18" s="14" t="s">
        <v>127</v>
      </c>
      <c r="D18" s="14" t="s">
        <v>163</v>
      </c>
      <c r="E18" s="14" t="s">
        <v>124</v>
      </c>
      <c r="F18" s="14" t="s">
        <v>164</v>
      </c>
    </row>
    <row r="19" customFormat="false" ht="15" hidden="false" customHeight="false" outlineLevel="0" collapsed="false">
      <c r="A19" s="14" t="s">
        <v>161</v>
      </c>
      <c r="B19" s="14" t="s">
        <v>165</v>
      </c>
      <c r="C19" s="14" t="s">
        <v>118</v>
      </c>
      <c r="D19" s="14" t="s">
        <v>166</v>
      </c>
      <c r="E19" s="14" t="s">
        <v>167</v>
      </c>
      <c r="F19" s="14" t="s">
        <v>168</v>
      </c>
    </row>
    <row r="20" customFormat="false" ht="15" hidden="false" customHeight="false" outlineLevel="0" collapsed="false">
      <c r="A20" s="14" t="s">
        <v>169</v>
      </c>
      <c r="B20" s="14" t="s">
        <v>170</v>
      </c>
      <c r="C20" s="14" t="s">
        <v>137</v>
      </c>
      <c r="D20" s="14" t="s">
        <v>163</v>
      </c>
      <c r="E20" s="14" t="s">
        <v>124</v>
      </c>
      <c r="F20" s="14" t="s">
        <v>171</v>
      </c>
    </row>
    <row r="21" customFormat="false" ht="23.85" hidden="false" customHeight="false" outlineLevel="0" collapsed="false">
      <c r="A21" s="14" t="s">
        <v>163</v>
      </c>
      <c r="B21" s="14" t="s">
        <v>172</v>
      </c>
      <c r="C21" s="14" t="s">
        <v>173</v>
      </c>
      <c r="D21" s="14" t="s">
        <v>174</v>
      </c>
      <c r="E21" s="14" t="s">
        <v>175</v>
      </c>
      <c r="F21" s="14" t="s">
        <v>176</v>
      </c>
    </row>
    <row r="22" customFormat="false" ht="15" hidden="false" customHeight="false" outlineLevel="0" collapsed="false">
      <c r="A22" s="14" t="s">
        <v>177</v>
      </c>
      <c r="B22" s="14" t="s">
        <v>178</v>
      </c>
      <c r="C22" s="14" t="s">
        <v>179</v>
      </c>
      <c r="D22" s="14" t="s">
        <v>179</v>
      </c>
      <c r="E22" s="14" t="s">
        <v>180</v>
      </c>
      <c r="F22" s="14" t="s">
        <v>181</v>
      </c>
    </row>
  </sheetData>
  <autoFilter ref="A1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3" t="s">
        <v>182</v>
      </c>
      <c r="B1" s="13" t="s">
        <v>183</v>
      </c>
      <c r="C1" s="13" t="s">
        <v>184</v>
      </c>
      <c r="D1" s="13" t="s">
        <v>185</v>
      </c>
      <c r="E1" s="13" t="s">
        <v>186</v>
      </c>
    </row>
    <row r="2" customFormat="false" ht="15" hidden="false" customHeight="false" outlineLevel="0" collapsed="false">
      <c r="A2" s="14" t="s">
        <v>187</v>
      </c>
      <c r="B2" s="14" t="s">
        <v>188</v>
      </c>
      <c r="C2" s="14" t="s">
        <v>189</v>
      </c>
      <c r="D2" s="14" t="s">
        <v>190</v>
      </c>
      <c r="E2" s="14" t="s">
        <v>125</v>
      </c>
    </row>
    <row r="3" customFormat="false" ht="15" hidden="false" customHeight="false" outlineLevel="0" collapsed="false">
      <c r="A3" s="14" t="s">
        <v>191</v>
      </c>
      <c r="B3" s="14" t="s">
        <v>192</v>
      </c>
      <c r="C3" s="14" t="s">
        <v>193</v>
      </c>
      <c r="D3" s="14" t="s">
        <v>194</v>
      </c>
      <c r="E3" s="14" t="s">
        <v>125</v>
      </c>
    </row>
    <row r="4" customFormat="false" ht="15" hidden="false" customHeight="false" outlineLevel="0" collapsed="false">
      <c r="A4" s="14" t="s">
        <v>195</v>
      </c>
      <c r="B4" s="14" t="s">
        <v>196</v>
      </c>
      <c r="C4" s="14" t="s">
        <v>197</v>
      </c>
      <c r="D4" s="14" t="s">
        <v>198</v>
      </c>
      <c r="E4" s="14" t="s">
        <v>125</v>
      </c>
    </row>
    <row r="5" customFormat="false" ht="15" hidden="false" customHeight="false" outlineLevel="0" collapsed="false">
      <c r="A5" s="14" t="s">
        <v>199</v>
      </c>
      <c r="B5" s="14" t="s">
        <v>200</v>
      </c>
      <c r="C5" s="14" t="s">
        <v>194</v>
      </c>
      <c r="D5" s="14" t="s">
        <v>194</v>
      </c>
      <c r="E5" s="14" t="s">
        <v>194</v>
      </c>
    </row>
    <row r="6" customFormat="false" ht="15" hidden="false" customHeight="false" outlineLevel="0" collapsed="false">
      <c r="A6" s="14" t="s">
        <v>201</v>
      </c>
      <c r="B6" s="14" t="s">
        <v>202</v>
      </c>
      <c r="C6" s="14" t="s">
        <v>92</v>
      </c>
      <c r="D6" s="14" t="s">
        <v>92</v>
      </c>
      <c r="E6" s="14" t="s">
        <v>125</v>
      </c>
    </row>
    <row r="7" customFormat="false" ht="15" hidden="false" customHeight="false" outlineLevel="0" collapsed="false">
      <c r="A7" s="14" t="s">
        <v>203</v>
      </c>
      <c r="B7" s="14" t="s">
        <v>204</v>
      </c>
      <c r="C7" s="14" t="s">
        <v>205</v>
      </c>
      <c r="D7" s="14" t="s">
        <v>205</v>
      </c>
      <c r="E7" s="14" t="s">
        <v>125</v>
      </c>
    </row>
    <row r="8" customFormat="false" ht="15" hidden="false" customHeight="false" outlineLevel="0" collapsed="false">
      <c r="A8" s="14" t="s">
        <v>206</v>
      </c>
      <c r="B8" s="14" t="s">
        <v>207</v>
      </c>
      <c r="C8" s="14" t="s">
        <v>205</v>
      </c>
      <c r="D8" s="14" t="s">
        <v>205</v>
      </c>
      <c r="E8" s="14" t="s">
        <v>125</v>
      </c>
    </row>
    <row r="9" customFormat="false" ht="15" hidden="false" customHeight="false" outlineLevel="0" collapsed="false">
      <c r="A9" s="14" t="s">
        <v>208</v>
      </c>
      <c r="B9" s="14" t="s">
        <v>209</v>
      </c>
      <c r="C9" s="14" t="s">
        <v>125</v>
      </c>
      <c r="D9" s="14" t="s">
        <v>125</v>
      </c>
      <c r="E9" s="14" t="s">
        <v>125</v>
      </c>
    </row>
    <row r="10" customFormat="false" ht="15" hidden="false" customHeight="false" outlineLevel="0" collapsed="false">
      <c r="A10" s="14" t="s">
        <v>210</v>
      </c>
      <c r="B10" s="14" t="s">
        <v>211</v>
      </c>
      <c r="C10" s="14" t="s">
        <v>205</v>
      </c>
      <c r="D10" s="14" t="s">
        <v>125</v>
      </c>
      <c r="E10" s="14" t="s">
        <v>125</v>
      </c>
    </row>
    <row r="11" customFormat="false" ht="15" hidden="false" customHeight="false" outlineLevel="0" collapsed="false">
      <c r="A11" s="14" t="s">
        <v>212</v>
      </c>
      <c r="B11" s="14" t="s">
        <v>213</v>
      </c>
      <c r="C11" s="14" t="s">
        <v>214</v>
      </c>
      <c r="D11" s="14" t="s">
        <v>125</v>
      </c>
      <c r="E11" s="14" t="s">
        <v>125</v>
      </c>
    </row>
    <row r="12" customFormat="false" ht="15" hidden="false" customHeight="false" outlineLevel="0" collapsed="false">
      <c r="A12" s="14" t="s">
        <v>215</v>
      </c>
      <c r="B12" s="14" t="s">
        <v>216</v>
      </c>
      <c r="C12" s="14" t="s">
        <v>125</v>
      </c>
      <c r="D12" s="14" t="s">
        <v>217</v>
      </c>
      <c r="E12" s="14" t="s">
        <v>125</v>
      </c>
    </row>
    <row r="13" customFormat="false" ht="15" hidden="false" customHeight="false" outlineLevel="0" collapsed="false">
      <c r="A13" s="14" t="s">
        <v>218</v>
      </c>
      <c r="B13" s="14" t="s">
        <v>219</v>
      </c>
      <c r="C13" s="14" t="s">
        <v>125</v>
      </c>
      <c r="D13" s="14" t="s">
        <v>125</v>
      </c>
      <c r="E13" s="14" t="s">
        <v>125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45"/>
    <col collapsed="false" customWidth="true" hidden="false" outlineLevel="0" max="4" min="4" style="0" width="18"/>
  </cols>
  <sheetData>
    <row r="1" customFormat="false" ht="23.85" hidden="false" customHeight="false" outlineLevel="0" collapsed="false">
      <c r="A1" s="13" t="s">
        <v>220</v>
      </c>
      <c r="B1" s="13" t="s">
        <v>221</v>
      </c>
      <c r="C1" s="13" t="s">
        <v>24</v>
      </c>
      <c r="D1" s="13" t="s">
        <v>26</v>
      </c>
    </row>
    <row r="2" customFormat="false" ht="15" hidden="false" customHeight="false" outlineLevel="0" collapsed="false">
      <c r="A2" s="14" t="s">
        <v>222</v>
      </c>
      <c r="B2" s="14" t="s">
        <v>223</v>
      </c>
      <c r="C2" s="14" t="s">
        <v>224</v>
      </c>
      <c r="D2" s="14" t="s">
        <v>32</v>
      </c>
    </row>
    <row r="3" customFormat="false" ht="15" hidden="false" customHeight="false" outlineLevel="0" collapsed="false">
      <c r="A3" s="14" t="s">
        <v>225</v>
      </c>
      <c r="B3" s="14" t="s">
        <v>226</v>
      </c>
      <c r="C3" s="14" t="s">
        <v>227</v>
      </c>
      <c r="D3" s="14" t="s">
        <v>32</v>
      </c>
    </row>
    <row r="4" customFormat="false" ht="15" hidden="false" customHeight="false" outlineLevel="0" collapsed="false">
      <c r="A4" s="14" t="s">
        <v>228</v>
      </c>
      <c r="B4" s="14" t="s">
        <v>229</v>
      </c>
      <c r="C4" s="14" t="s">
        <v>230</v>
      </c>
      <c r="D4" s="14" t="s">
        <v>32</v>
      </c>
    </row>
    <row r="5" customFormat="false" ht="15" hidden="false" customHeight="false" outlineLevel="0" collapsed="false">
      <c r="A5" s="14" t="s">
        <v>231</v>
      </c>
      <c r="B5" s="14" t="s">
        <v>232</v>
      </c>
      <c r="C5" s="14" t="s">
        <v>233</v>
      </c>
      <c r="D5" s="14" t="s">
        <v>234</v>
      </c>
    </row>
    <row r="6" customFormat="false" ht="15" hidden="false" customHeight="false" outlineLevel="0" collapsed="false">
      <c r="A6" s="14" t="s">
        <v>235</v>
      </c>
      <c r="B6" s="14" t="s">
        <v>236</v>
      </c>
      <c r="C6" s="14" t="s">
        <v>237</v>
      </c>
      <c r="D6" s="14" t="s">
        <v>234</v>
      </c>
    </row>
    <row r="7" customFormat="false" ht="23.85" hidden="false" customHeight="false" outlineLevel="0" collapsed="false">
      <c r="A7" s="14" t="s">
        <v>238</v>
      </c>
      <c r="B7" s="14" t="s">
        <v>239</v>
      </c>
      <c r="C7" s="14" t="s">
        <v>240</v>
      </c>
      <c r="D7" s="14" t="s">
        <v>32</v>
      </c>
    </row>
    <row r="8" customFormat="false" ht="15" hidden="false" customHeight="false" outlineLevel="0" collapsed="false">
      <c r="A8" s="14" t="s">
        <v>241</v>
      </c>
      <c r="B8" s="14" t="s">
        <v>242</v>
      </c>
      <c r="C8" s="14" t="s">
        <v>243</v>
      </c>
      <c r="D8" s="14" t="s">
        <v>109</v>
      </c>
    </row>
    <row r="9" customFormat="false" ht="15" hidden="false" customHeight="false" outlineLevel="0" collapsed="false">
      <c r="A9" s="14" t="s">
        <v>55</v>
      </c>
      <c r="B9" s="14" t="s">
        <v>244</v>
      </c>
      <c r="C9" s="14" t="s">
        <v>245</v>
      </c>
      <c r="D9" s="14" t="s">
        <v>32</v>
      </c>
    </row>
    <row r="10" customFormat="false" ht="15" hidden="false" customHeight="false" outlineLevel="0" collapsed="false">
      <c r="A10" s="14" t="s">
        <v>246</v>
      </c>
      <c r="B10" s="14" t="s">
        <v>247</v>
      </c>
      <c r="C10" s="14" t="s">
        <v>248</v>
      </c>
      <c r="D10" s="14" t="s">
        <v>32</v>
      </c>
    </row>
    <row r="11" customFormat="false" ht="15" hidden="false" customHeight="false" outlineLevel="0" collapsed="false">
      <c r="A11" s="14" t="s">
        <v>249</v>
      </c>
      <c r="B11" s="14" t="s">
        <v>250</v>
      </c>
      <c r="C11" s="14" t="s">
        <v>237</v>
      </c>
      <c r="D11" s="14" t="s">
        <v>32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75"/>
  </cols>
  <sheetData>
    <row r="1" customFormat="false" ht="15" hidden="false" customHeight="false" outlineLevel="0" collapsed="false">
      <c r="A1" s="13" t="s">
        <v>251</v>
      </c>
      <c r="B1" s="13" t="s">
        <v>252</v>
      </c>
      <c r="C1" s="13" t="s">
        <v>253</v>
      </c>
    </row>
    <row r="2" customFormat="false" ht="15" hidden="false" customHeight="false" outlineLevel="0" collapsed="false">
      <c r="A2" s="14" t="s">
        <v>254</v>
      </c>
      <c r="B2" s="14" t="s">
        <v>255</v>
      </c>
      <c r="C2" s="14" t="s">
        <v>256</v>
      </c>
    </row>
    <row r="3" customFormat="false" ht="15" hidden="false" customHeight="false" outlineLevel="0" collapsed="false">
      <c r="A3" s="14" t="s">
        <v>254</v>
      </c>
      <c r="B3" s="14" t="s">
        <v>257</v>
      </c>
      <c r="C3" s="14" t="s">
        <v>256</v>
      </c>
    </row>
    <row r="4" customFormat="false" ht="15" hidden="false" customHeight="false" outlineLevel="0" collapsed="false">
      <c r="A4" s="14" t="s">
        <v>254</v>
      </c>
      <c r="B4" s="14" t="s">
        <v>258</v>
      </c>
      <c r="C4" s="14" t="s">
        <v>259</v>
      </c>
    </row>
    <row r="5" customFormat="false" ht="15" hidden="false" customHeight="false" outlineLevel="0" collapsed="false">
      <c r="A5" s="14" t="s">
        <v>254</v>
      </c>
      <c r="B5" s="14" t="s">
        <v>260</v>
      </c>
      <c r="C5" s="14" t="s">
        <v>261</v>
      </c>
    </row>
    <row r="6" customFormat="false" ht="15" hidden="false" customHeight="false" outlineLevel="0" collapsed="false">
      <c r="A6" s="14" t="s">
        <v>254</v>
      </c>
      <c r="B6" s="14" t="s">
        <v>262</v>
      </c>
      <c r="C6" s="14" t="s">
        <v>263</v>
      </c>
    </row>
    <row r="7" customFormat="false" ht="15" hidden="false" customHeight="false" outlineLevel="0" collapsed="false">
      <c r="A7" s="14" t="s">
        <v>254</v>
      </c>
      <c r="B7" s="14" t="s">
        <v>264</v>
      </c>
      <c r="C7" s="14" t="s">
        <v>256</v>
      </c>
    </row>
    <row r="8" customFormat="false" ht="15" hidden="false" customHeight="false" outlineLevel="0" collapsed="false">
      <c r="A8" s="14" t="s">
        <v>254</v>
      </c>
      <c r="B8" s="14" t="s">
        <v>265</v>
      </c>
      <c r="C8" s="14" t="s">
        <v>266</v>
      </c>
    </row>
    <row r="9" customFormat="false" ht="15" hidden="false" customHeight="false" outlineLevel="0" collapsed="false">
      <c r="A9" s="14" t="s">
        <v>267</v>
      </c>
      <c r="B9" s="14" t="s">
        <v>268</v>
      </c>
      <c r="C9" s="14" t="s">
        <v>256</v>
      </c>
    </row>
    <row r="10" customFormat="false" ht="15" hidden="false" customHeight="false" outlineLevel="0" collapsed="false">
      <c r="A10" s="14" t="s">
        <v>267</v>
      </c>
      <c r="B10" s="14" t="s">
        <v>269</v>
      </c>
      <c r="C10" s="14" t="s">
        <v>270</v>
      </c>
    </row>
    <row r="11" customFormat="false" ht="15" hidden="false" customHeight="false" outlineLevel="0" collapsed="false">
      <c r="A11" s="14" t="s">
        <v>267</v>
      </c>
      <c r="B11" s="14" t="s">
        <v>271</v>
      </c>
      <c r="C11" s="14" t="s">
        <v>256</v>
      </c>
    </row>
    <row r="12" customFormat="false" ht="15" hidden="false" customHeight="false" outlineLevel="0" collapsed="false">
      <c r="A12" s="14" t="s">
        <v>267</v>
      </c>
      <c r="B12" s="14" t="s">
        <v>272</v>
      </c>
      <c r="C12" s="14" t="s">
        <v>273</v>
      </c>
    </row>
    <row r="13" customFormat="false" ht="15" hidden="false" customHeight="false" outlineLevel="0" collapsed="false">
      <c r="A13" s="14" t="s">
        <v>274</v>
      </c>
      <c r="B13" s="14" t="s">
        <v>92</v>
      </c>
      <c r="C13" s="14" t="s">
        <v>275</v>
      </c>
    </row>
    <row r="14" customFormat="false" ht="15" hidden="false" customHeight="false" outlineLevel="0" collapsed="false">
      <c r="A14" s="14" t="s">
        <v>274</v>
      </c>
      <c r="B14" s="14" t="s">
        <v>276</v>
      </c>
      <c r="C14" s="14" t="s">
        <v>277</v>
      </c>
    </row>
    <row r="15" customFormat="false" ht="15" hidden="false" customHeight="false" outlineLevel="0" collapsed="false">
      <c r="A15" s="14" t="s">
        <v>274</v>
      </c>
      <c r="B15" s="14" t="s">
        <v>278</v>
      </c>
      <c r="C15" s="14" t="s">
        <v>279</v>
      </c>
    </row>
    <row r="16" customFormat="false" ht="15" hidden="false" customHeight="false" outlineLevel="0" collapsed="false">
      <c r="A16" s="14" t="s">
        <v>274</v>
      </c>
      <c r="B16" s="14" t="s">
        <v>280</v>
      </c>
      <c r="C16" s="14" t="s">
        <v>281</v>
      </c>
    </row>
    <row r="17" customFormat="false" ht="15" hidden="false" customHeight="false" outlineLevel="0" collapsed="false">
      <c r="A17" s="14" t="s">
        <v>274</v>
      </c>
      <c r="B17" s="14" t="s">
        <v>282</v>
      </c>
      <c r="C17" s="14" t="s">
        <v>283</v>
      </c>
    </row>
    <row r="18" customFormat="false" ht="15" hidden="false" customHeight="false" outlineLevel="0" collapsed="false">
      <c r="A18" s="14" t="s">
        <v>274</v>
      </c>
      <c r="B18" s="14" t="s">
        <v>284</v>
      </c>
      <c r="C18" s="14" t="s">
        <v>285</v>
      </c>
    </row>
    <row r="19" customFormat="false" ht="15" hidden="false" customHeight="false" outlineLevel="0" collapsed="false">
      <c r="A19" s="14" t="s">
        <v>274</v>
      </c>
      <c r="B19" s="14" t="s">
        <v>286</v>
      </c>
      <c r="C19" s="14" t="s">
        <v>287</v>
      </c>
    </row>
    <row r="20" customFormat="false" ht="15" hidden="false" customHeight="false" outlineLevel="0" collapsed="false">
      <c r="A20" s="14" t="s">
        <v>274</v>
      </c>
      <c r="B20" s="14" t="s">
        <v>41</v>
      </c>
      <c r="C20" s="14" t="s">
        <v>288</v>
      </c>
    </row>
    <row r="21" customFormat="false" ht="15" hidden="false" customHeight="false" outlineLevel="0" collapsed="false">
      <c r="A21" s="14" t="s">
        <v>289</v>
      </c>
      <c r="B21" s="14" t="s">
        <v>290</v>
      </c>
      <c r="C21" s="14" t="s">
        <v>291</v>
      </c>
    </row>
  </sheetData>
  <autoFilter ref="A1:C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3" t="s">
        <v>292</v>
      </c>
      <c r="B1" s="13" t="s">
        <v>293</v>
      </c>
      <c r="C1" s="13" t="s">
        <v>294</v>
      </c>
      <c r="D1" s="13" t="s">
        <v>295</v>
      </c>
      <c r="E1" s="13" t="s">
        <v>296</v>
      </c>
    </row>
    <row r="2" customFormat="false" ht="15" hidden="false" customHeight="false" outlineLevel="0" collapsed="false">
      <c r="A2" s="14" t="s">
        <v>297</v>
      </c>
      <c r="B2" s="14" t="s">
        <v>298</v>
      </c>
      <c r="C2" s="14" t="s">
        <v>32</v>
      </c>
      <c r="D2" s="14" t="s">
        <v>299</v>
      </c>
      <c r="E2" s="14" t="s">
        <v>109</v>
      </c>
    </row>
    <row r="3" customFormat="false" ht="15" hidden="false" customHeight="false" outlineLevel="0" collapsed="false">
      <c r="A3" s="14" t="s">
        <v>300</v>
      </c>
      <c r="B3" s="14" t="s">
        <v>298</v>
      </c>
      <c r="C3" s="14" t="s">
        <v>32</v>
      </c>
      <c r="D3" s="14" t="s">
        <v>32</v>
      </c>
      <c r="E3" s="14" t="s">
        <v>109</v>
      </c>
    </row>
    <row r="4" customFormat="false" ht="15" hidden="false" customHeight="false" outlineLevel="0" collapsed="false">
      <c r="A4" s="14" t="s">
        <v>301</v>
      </c>
      <c r="B4" s="14" t="s">
        <v>302</v>
      </c>
      <c r="C4" s="14" t="s">
        <v>303</v>
      </c>
      <c r="D4" s="14" t="s">
        <v>109</v>
      </c>
      <c r="E4" s="14" t="s">
        <v>304</v>
      </c>
    </row>
    <row r="5" customFormat="false" ht="15" hidden="false" customHeight="false" outlineLevel="0" collapsed="false">
      <c r="A5" s="14" t="s">
        <v>305</v>
      </c>
      <c r="B5" s="14" t="s">
        <v>306</v>
      </c>
      <c r="C5" s="14" t="s">
        <v>306</v>
      </c>
      <c r="D5" s="14" t="s">
        <v>306</v>
      </c>
      <c r="E5" s="14" t="s">
        <v>307</v>
      </c>
    </row>
    <row r="6" customFormat="false" ht="15" hidden="false" customHeight="false" outlineLevel="0" collapsed="false">
      <c r="A6" s="14" t="s">
        <v>308</v>
      </c>
      <c r="B6" s="14" t="s">
        <v>306</v>
      </c>
      <c r="C6" s="14" t="s">
        <v>306</v>
      </c>
      <c r="D6" s="14" t="s">
        <v>306</v>
      </c>
      <c r="E6" s="14" t="s">
        <v>306</v>
      </c>
    </row>
    <row r="7" customFormat="false" ht="15" hidden="false" customHeight="false" outlineLevel="0" collapsed="false">
      <c r="A7" s="14" t="s">
        <v>309</v>
      </c>
      <c r="B7" s="14" t="s">
        <v>310</v>
      </c>
      <c r="C7" s="14" t="s">
        <v>303</v>
      </c>
      <c r="D7" s="14" t="s">
        <v>109</v>
      </c>
      <c r="E7" s="14" t="s">
        <v>303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3" t="s">
        <v>311</v>
      </c>
      <c r="B1" s="13" t="s">
        <v>312</v>
      </c>
      <c r="C1" s="13" t="s">
        <v>253</v>
      </c>
      <c r="D1" s="13" t="s">
        <v>313</v>
      </c>
    </row>
    <row r="2" customFormat="false" ht="15" hidden="false" customHeight="false" outlineLevel="0" collapsed="false">
      <c r="A2" s="14" t="n">
        <v>1</v>
      </c>
      <c r="B2" s="14" t="s">
        <v>314</v>
      </c>
      <c r="C2" s="14" t="s">
        <v>12</v>
      </c>
      <c r="D2" s="14"/>
    </row>
    <row r="3" customFormat="false" ht="15" hidden="false" customHeight="false" outlineLevel="0" collapsed="false">
      <c r="A3" s="14" t="n">
        <v>2</v>
      </c>
      <c r="B3" s="14" t="s">
        <v>315</v>
      </c>
      <c r="C3" s="14" t="s">
        <v>12</v>
      </c>
      <c r="D3" s="14"/>
    </row>
    <row r="4" customFormat="false" ht="15" hidden="false" customHeight="false" outlineLevel="0" collapsed="false">
      <c r="A4" s="14" t="n">
        <v>3</v>
      </c>
      <c r="B4" s="14" t="s">
        <v>316</v>
      </c>
      <c r="C4" s="14" t="s">
        <v>12</v>
      </c>
      <c r="D4" s="14"/>
    </row>
    <row r="5" customFormat="false" ht="15" hidden="false" customHeight="false" outlineLevel="0" collapsed="false">
      <c r="A5" s="14" t="n">
        <v>4</v>
      </c>
      <c r="B5" s="14" t="s">
        <v>317</v>
      </c>
      <c r="C5" s="14" t="s">
        <v>12</v>
      </c>
      <c r="D5" s="14"/>
    </row>
    <row r="6" customFormat="false" ht="15" hidden="false" customHeight="false" outlineLevel="0" collapsed="false">
      <c r="A6" s="14" t="n">
        <v>5</v>
      </c>
      <c r="B6" s="14" t="s">
        <v>318</v>
      </c>
      <c r="C6" s="14" t="s">
        <v>12</v>
      </c>
      <c r="D6" s="14"/>
    </row>
    <row r="7" customFormat="false" ht="15" hidden="false" customHeight="false" outlineLevel="0" collapsed="false">
      <c r="A7" s="14" t="n">
        <v>6</v>
      </c>
      <c r="B7" s="14" t="s">
        <v>319</v>
      </c>
      <c r="C7" s="14" t="s">
        <v>12</v>
      </c>
      <c r="D7" s="14"/>
    </row>
    <row r="8" customFormat="false" ht="15" hidden="false" customHeight="false" outlineLevel="0" collapsed="false">
      <c r="A8" s="14" t="n">
        <v>7</v>
      </c>
      <c r="B8" s="14" t="s">
        <v>320</v>
      </c>
      <c r="C8" s="14" t="s">
        <v>12</v>
      </c>
      <c r="D8" s="14"/>
    </row>
    <row r="9" customFormat="false" ht="15" hidden="false" customHeight="false" outlineLevel="0" collapsed="false">
      <c r="A9" s="14" t="n">
        <v>8</v>
      </c>
      <c r="B9" s="14" t="s">
        <v>321</v>
      </c>
      <c r="C9" s="14" t="s">
        <v>12</v>
      </c>
      <c r="D9" s="14"/>
    </row>
    <row r="10" customFormat="false" ht="15" hidden="false" customHeight="false" outlineLevel="0" collapsed="false">
      <c r="A10" s="14" t="n">
        <v>9</v>
      </c>
      <c r="B10" s="14" t="s">
        <v>322</v>
      </c>
      <c r="C10" s="14" t="s">
        <v>12</v>
      </c>
      <c r="D10" s="14"/>
    </row>
    <row r="11" customFormat="false" ht="15" hidden="false" customHeight="false" outlineLevel="0" collapsed="false">
      <c r="A11" s="14" t="n">
        <v>10</v>
      </c>
      <c r="B11" s="14" t="s">
        <v>323</v>
      </c>
      <c r="C11" s="14" t="s">
        <v>12</v>
      </c>
      <c r="D11" s="14"/>
    </row>
    <row r="12" customFormat="false" ht="15" hidden="false" customHeight="false" outlineLevel="0" collapsed="false">
      <c r="A12" s="14" t="n">
        <v>11</v>
      </c>
      <c r="B12" s="14" t="s">
        <v>324</v>
      </c>
      <c r="C12" s="14" t="s">
        <v>12</v>
      </c>
      <c r="D12" s="14"/>
    </row>
    <row r="13" customFormat="false" ht="15" hidden="false" customHeight="false" outlineLevel="0" collapsed="false">
      <c r="A13" s="14" t="n">
        <v>12</v>
      </c>
      <c r="B13" s="14" t="s">
        <v>325</v>
      </c>
      <c r="C13" s="14" t="s">
        <v>12</v>
      </c>
      <c r="D13" s="14"/>
    </row>
    <row r="14" customFormat="false" ht="15" hidden="false" customHeight="false" outlineLevel="0" collapsed="false">
      <c r="A14" s="14" t="n">
        <v>13</v>
      </c>
      <c r="B14" s="14" t="s">
        <v>326</v>
      </c>
      <c r="C14" s="14" t="s">
        <v>12</v>
      </c>
      <c r="D14" s="14"/>
    </row>
    <row r="15" customFormat="false" ht="15" hidden="false" customHeight="false" outlineLevel="0" collapsed="false">
      <c r="A15" s="14" t="n">
        <v>14</v>
      </c>
      <c r="B15" s="14" t="s">
        <v>327</v>
      </c>
      <c r="C15" s="14" t="s">
        <v>12</v>
      </c>
      <c r="D15" s="14"/>
    </row>
    <row r="16" customFormat="false" ht="15" hidden="false" customHeight="false" outlineLevel="0" collapsed="false">
      <c r="A16" s="14" t="n">
        <v>15</v>
      </c>
      <c r="B16" s="14" t="s">
        <v>328</v>
      </c>
      <c r="C16" s="14" t="s">
        <v>12</v>
      </c>
      <c r="D16" s="14"/>
    </row>
    <row r="17" customFormat="false" ht="15" hidden="false" customHeight="false" outlineLevel="0" collapsed="false">
      <c r="A17" s="14" t="n">
        <v>16</v>
      </c>
      <c r="B17" s="14" t="s">
        <v>329</v>
      </c>
      <c r="C17" s="14" t="s">
        <v>12</v>
      </c>
      <c r="D17" s="14"/>
    </row>
    <row r="18" customFormat="false" ht="15" hidden="false" customHeight="false" outlineLevel="0" collapsed="false">
      <c r="A18" s="14" t="n">
        <v>17</v>
      </c>
      <c r="B18" s="14" t="s">
        <v>330</v>
      </c>
      <c r="C18" s="14" t="s">
        <v>12</v>
      </c>
      <c r="D18" s="14"/>
    </row>
    <row r="19" customFormat="false" ht="15" hidden="false" customHeight="false" outlineLevel="0" collapsed="false">
      <c r="A19" s="14" t="n">
        <v>18</v>
      </c>
      <c r="B19" s="14" t="s">
        <v>331</v>
      </c>
      <c r="C19" s="14" t="s">
        <v>12</v>
      </c>
      <c r="D19" s="14"/>
    </row>
  </sheetData>
  <autoFilter ref="A1:D19"/>
  <conditionalFormatting sqref="C2:C19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9">
      <formula>"Blocked"</formula>
    </cfRule>
  </conditionalFormatting>
  <dataValidations count="1">
    <dataValidation allowBlank="false" errorStyle="stop" operator="between" showDropDown="false" showErrorMessage="false" showInputMessage="false" sqref="C2:C19" type="list">
      <formula1>"Open,In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0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13" t="s">
        <v>332</v>
      </c>
      <c r="B1" s="13" t="s">
        <v>333</v>
      </c>
      <c r="C1" s="13" t="s">
        <v>334</v>
      </c>
    </row>
    <row r="2" customFormat="false" ht="15" hidden="false" customHeight="false" outlineLevel="0" collapsed="false">
      <c r="A2" s="14" t="n">
        <v>1</v>
      </c>
      <c r="B2" s="14" t="s">
        <v>335</v>
      </c>
      <c r="C2" s="14" t="s">
        <v>290</v>
      </c>
    </row>
    <row r="3" customFormat="false" ht="15" hidden="false" customHeight="false" outlineLevel="0" collapsed="false">
      <c r="A3" s="14" t="n">
        <v>2</v>
      </c>
      <c r="B3" s="14" t="s">
        <v>336</v>
      </c>
      <c r="C3" s="14" t="s">
        <v>95</v>
      </c>
    </row>
    <row r="4" customFormat="false" ht="15" hidden="false" customHeight="false" outlineLevel="0" collapsed="false">
      <c r="A4" s="14" t="n">
        <v>3</v>
      </c>
      <c r="B4" s="14" t="s">
        <v>337</v>
      </c>
      <c r="C4" s="14" t="s">
        <v>338</v>
      </c>
    </row>
    <row r="5" customFormat="false" ht="15" hidden="false" customHeight="false" outlineLevel="0" collapsed="false">
      <c r="A5" s="14" t="n">
        <v>4</v>
      </c>
      <c r="B5" s="14" t="s">
        <v>339</v>
      </c>
      <c r="C5" s="14" t="s">
        <v>340</v>
      </c>
    </row>
    <row r="6" customFormat="false" ht="15" hidden="false" customHeight="false" outlineLevel="0" collapsed="false">
      <c r="A6" s="14" t="n">
        <v>5</v>
      </c>
      <c r="B6" s="14" t="s">
        <v>341</v>
      </c>
      <c r="C6" s="14" t="s">
        <v>342</v>
      </c>
    </row>
    <row r="7" customFormat="false" ht="15" hidden="false" customHeight="false" outlineLevel="0" collapsed="false">
      <c r="A7" s="14" t="n">
        <v>6</v>
      </c>
      <c r="B7" s="14" t="s">
        <v>343</v>
      </c>
      <c r="C7" s="14" t="s">
        <v>344</v>
      </c>
    </row>
    <row r="8" customFormat="false" ht="15" hidden="false" customHeight="false" outlineLevel="0" collapsed="false">
      <c r="A8" s="14" t="n">
        <v>7</v>
      </c>
      <c r="B8" s="14" t="s">
        <v>345</v>
      </c>
      <c r="C8" s="14" t="s">
        <v>78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2026-10-02T03:51:38Z</dcterms:created>
  <dc:creator>openpyxl</dc:creator>
  <dc:description/>
  <dc:language>en-US</dc:language>
  <cp:lastModifiedBy/>
  <dcterms:modified xsi:type="dcterms:W3CDTF">2026-10-02T03:51:38Z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